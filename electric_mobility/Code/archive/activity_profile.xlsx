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11a23179466804/MEG/Code/"/>
    </mc:Choice>
  </mc:AlternateContent>
  <xr:revisionPtr revIDLastSave="134" documentId="8_{20F59CA7-C7E0-40B5-AEFF-6A7370DAA01E}" xr6:coauthVersionLast="47" xr6:coauthVersionMax="47" xr10:uidLastSave="{4DAE476F-205F-4343-A621-CF0FA5644B1B}"/>
  <bookViews>
    <workbookView xWindow="-108" yWindow="-108" windowWidth="23256" windowHeight="12456" xr2:uid="{E7577D68-64F3-45C3-9020-203387CBD7E1}"/>
  </bookViews>
  <sheets>
    <sheet name="PickUp" sheetId="1" r:id="rId1"/>
    <sheet name="Micromobilidad" sheetId="8" r:id="rId2"/>
    <sheet name="Motorcycle" sheetId="6" r:id="rId3"/>
    <sheet name="SUV" sheetId="7" r:id="rId4"/>
    <sheet name="Bus" sheetId="3" r:id="rId5"/>
    <sheet name="Heavy Truck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6" l="1"/>
  <c r="Q7" i="2"/>
  <c r="Q7" i="3"/>
  <c r="Q7" i="7"/>
  <c r="Q7" i="8"/>
  <c r="Q7" i="1"/>
  <c r="Q3" i="7"/>
</calcChain>
</file>

<file path=xl/sharedStrings.xml><?xml version="1.0" encoding="utf-8"?>
<sst xmlns="http://schemas.openxmlformats.org/spreadsheetml/2006/main" count="350" uniqueCount="82">
  <si>
    <t>Start time</t>
  </si>
  <si>
    <t>End time</t>
  </si>
  <si>
    <t>Road</t>
  </si>
  <si>
    <t>Place</t>
  </si>
  <si>
    <t>Explanation</t>
  </si>
  <si>
    <t xml:space="preserve">Urban </t>
  </si>
  <si>
    <t>Rural</t>
  </si>
  <si>
    <t>Gravel</t>
  </si>
  <si>
    <t>Asphalted</t>
  </si>
  <si>
    <t>Servicio de taxi dentro del puerto</t>
  </si>
  <si>
    <t>Recogida de turistas en hoteles</t>
  </si>
  <si>
    <t>Trayecto al Canal de Itabaca</t>
  </si>
  <si>
    <t>Mixed</t>
  </si>
  <si>
    <t>Transporte de pasajeros en el puerto</t>
  </si>
  <si>
    <t>Retorno Aeropuerto (Carretera)</t>
  </si>
  <si>
    <t>Entrada a Puerto Ayora (Urbano) / dejar pasajeros</t>
  </si>
  <si>
    <t>Logística urbana y transportes finales en la zona</t>
  </si>
  <si>
    <t>Modelo</t>
  </si>
  <si>
    <t>Drag Coefficient</t>
  </si>
  <si>
    <t>Frontal Area</t>
  </si>
  <si>
    <t>Total Mass</t>
  </si>
  <si>
    <t>Motor efficiency</t>
  </si>
  <si>
    <t>Generator efficiency</t>
  </si>
  <si>
    <t>Recovery factor</t>
  </si>
  <si>
    <t>kg</t>
  </si>
  <si>
    <t>m2</t>
  </si>
  <si>
    <t>Battery Capacity</t>
  </si>
  <si>
    <t>kWh</t>
  </si>
  <si>
    <t>Power to Tare Mass Ratio (PMR) </t>
  </si>
  <si>
    <t xml:space="preserve">RIDDARA RD6 AIR 2WD </t>
  </si>
  <si>
    <t>W/kg</t>
  </si>
  <si>
    <t xml:space="preserve">    8:30</t>
  </si>
  <si>
    <t xml:space="preserve">    13:30</t>
  </si>
  <si>
    <t>Urban</t>
  </si>
  <si>
    <t>Movilidad de mediodía (almuerzo / trámites)</t>
  </si>
  <si>
    <t xml:space="preserve">Desplazamiento casa–trabajo / colegio </t>
  </si>
  <si>
    <t xml:space="preserve">    17:30</t>
  </si>
  <si>
    <t>Actividades personales (compras)</t>
  </si>
  <si>
    <t>Movilidad nocturna (ocio / visitas/cerrar local)</t>
  </si>
  <si>
    <t>KIA EV5</t>
  </si>
  <si>
    <t xml:space="preserve">Logística pesada (materiales de construcción/maquinaria) </t>
  </si>
  <si>
    <t xml:space="preserve">Retorno a zona de embarque y logística final </t>
  </si>
  <si>
    <t>Distribución en zona rural  y centros logísticos</t>
  </si>
  <si>
    <t xml:space="preserve">Carga de suministros en muelles </t>
  </si>
  <si>
    <t xml:space="preserve">Tours diarios programados (Zonas altas / Sitios de visita) </t>
  </si>
  <si>
    <t xml:space="preserve">Conexión Aeropuerto Baltra - Canal de Itabaca (hora de vuelos) </t>
  </si>
  <si>
    <t xml:space="preserve">Retorno de grupos  </t>
  </si>
  <si>
    <t>Super Soco TC Max</t>
  </si>
  <si>
    <t>W/h</t>
  </si>
  <si>
    <t>Home</t>
  </si>
  <si>
    <t>Charge</t>
  </si>
  <si>
    <t>Carga durante la noche</t>
  </si>
  <si>
    <t>Fast</t>
  </si>
  <si>
    <t xml:space="preserve">Elevation Profile </t>
  </si>
  <si>
    <t>-</t>
  </si>
  <si>
    <t>Itabaca-Ayora</t>
  </si>
  <si>
    <t>Ayora-Itabaca</t>
  </si>
  <si>
    <t>Elevation Profile</t>
  </si>
  <si>
    <t>Tours de tarde (El Chato / Rancho Primicias/Playa)</t>
  </si>
  <si>
    <t>Ruta al Cascajo</t>
  </si>
  <si>
    <t>Ayora-Cascajo</t>
  </si>
  <si>
    <t>Cascajo-Ayora</t>
  </si>
  <si>
    <t>Semi-Fast</t>
  </si>
  <si>
    <t>ECOMOVE EKKO</t>
  </si>
  <si>
    <t>BYD C9</t>
  </si>
  <si>
    <t>BYD T5 EV</t>
  </si>
  <si>
    <t>SANTA CRUZ</t>
  </si>
  <si>
    <t>Santa Cruz</t>
  </si>
  <si>
    <t>49.32 km</t>
  </si>
  <si>
    <t>170 km</t>
  </si>
  <si>
    <t>180 km</t>
  </si>
  <si>
    <t>17.3 KM</t>
  </si>
  <si>
    <t>25 km</t>
  </si>
  <si>
    <t>250 KM</t>
  </si>
  <si>
    <t>Viaje al trabajo o centro educativo.</t>
  </si>
  <si>
    <t>Almuerzo o diligencias de mediodía.</t>
  </si>
  <si>
    <t>Retorno al hogar.</t>
  </si>
  <si>
    <t>Compras o actividades personales.</t>
  </si>
  <si>
    <t>Salida ocasional nocturna.</t>
  </si>
  <si>
    <t>Carga durante almuerzo</t>
  </si>
  <si>
    <t>Bellavista-Ayora</t>
  </si>
  <si>
    <t>Ayora-Bellavista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</si>
</sst>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3">
    <xf numFmtId="0" fontId="0" fillId="0" borderId="0" xfId="0"/>
    <xf numFmtId="20" fontId="0" fillId="0" borderId="0" xfId="0" applyNumberFormat="1"/>
    <xf numFmtId="0" fontId="1" fillId="0" borderId="0" xfId="0" applyFont="1" applyAlignment="1">
      <alignment vertical="center"/>
    </xf>
    <xf numFmtId="0" fontId="0" fillId="0" borderId="1" xfId="0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1" fillId="0" borderId="1" xfId="0" applyFont="1" applyBorder="1"/>
    <xf numFmtId="0" fontId="1" fillId="0" borderId="0" xfId="0" applyFont="1"/>
    <xf numFmtId="2" fontId="0" fillId="0" borderId="1" xfId="0" applyNumberFormat="1" applyBorder="1"/>
    <xf numFmtId="164" fontId="0" fillId="0" borderId="1" xfId="0" applyNumberFormat="1" applyBorder="1"/>
    <xf numFmtId="3" fontId="0" fillId="0" borderId="0" xfId="0" applyNumberFormat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20" fontId="0" fillId="0" borderId="5" xfId="0" applyNumberFormat="1" applyBorder="1"/>
    <xf numFmtId="20" fontId="0" fillId="0" borderId="6" xfId="0" applyNumberFormat="1" applyBorder="1"/>
    <xf numFmtId="0" fontId="0" fillId="0" borderId="6" xfId="0" applyBorder="1"/>
    <xf numFmtId="0" fontId="1" fillId="0" borderId="7" xfId="0" applyFont="1" applyBorder="1" applyAlignment="1">
      <alignment vertical="center"/>
    </xf>
    <xf numFmtId="20" fontId="0" fillId="0" borderId="8" xfId="0" applyNumberFormat="1" applyBorder="1"/>
    <xf numFmtId="0" fontId="1" fillId="0" borderId="9" xfId="0" applyFont="1" applyBorder="1" applyAlignment="1">
      <alignment vertical="center"/>
    </xf>
    <xf numFmtId="0" fontId="0" fillId="0" borderId="5" xfId="0" applyBorder="1"/>
    <xf numFmtId="0" fontId="0" fillId="0" borderId="7" xfId="0" applyBorder="1"/>
    <xf numFmtId="20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1" fillId="0" borderId="9" xfId="0" applyFont="1" applyBorder="1" applyAlignment="1">
      <alignment horizontal="left" vertical="center"/>
    </xf>
    <xf numFmtId="20" fontId="0" fillId="0" borderId="8" xfId="0" applyNumberFormat="1" applyBorder="1" applyAlignment="1">
      <alignment horizontal="right"/>
    </xf>
    <xf numFmtId="0" fontId="0" fillId="0" borderId="10" xfId="0" applyBorder="1"/>
    <xf numFmtId="0" fontId="1" fillId="0" borderId="6" xfId="0" applyFont="1" applyBorder="1"/>
    <xf numFmtId="20" fontId="0" fillId="0" borderId="11" xfId="0" applyNumberFormat="1" applyBorder="1"/>
    <xf numFmtId="20" fontId="0" fillId="0" borderId="10" xfId="0" applyNumberFormat="1" applyBorder="1"/>
    <xf numFmtId="0" fontId="1" fillId="0" borderId="10" xfId="0" applyFont="1" applyBorder="1"/>
    <xf numFmtId="0" fontId="1" fillId="2" borderId="0" xfId="0" applyFont="1" applyFill="1" applyAlignment="1">
      <alignment vertical="center"/>
    </xf>
    <xf numFmtId="0" fontId="0" fillId="0" borderId="8" xfId="0" applyBorder="1"/>
    <xf numFmtId="0" fontId="2" fillId="0" borderId="13" xfId="0" applyFont="1" applyBorder="1"/>
    <xf numFmtId="0" fontId="1" fillId="3" borderId="0" xfId="0" applyFont="1" applyFill="1" applyAlignment="1">
      <alignment vertical="center"/>
    </xf>
    <xf numFmtId="0" fontId="1" fillId="3" borderId="12" xfId="0" applyFont="1" applyFill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2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/>
    <xf numFmtId="0" fontId="1" fillId="0" borderId="9" xfId="0" applyFont="1" applyBorder="1"/>
  </cellXfs>
  <cellStyles count="1">
    <cellStyle name="Normal" xfId="0" builtinId="0"/>
  </cellStyles>
  <dxfs count="67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>
        <bottom style="thin">
          <color indexed="64"/>
        </bottom>
      </border>
    </dxf>
    <dxf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>
        <bottom style="thin">
          <color indexed="64"/>
        </bottom>
      </border>
    </dxf>
    <dxf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>
        <bottom style="thin">
          <color indexed="64"/>
        </bottom>
      </border>
    </dxf>
    <dxf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>
        <bottom style="thin">
          <color indexed="64"/>
        </bottom>
      </border>
    </dxf>
    <dxf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numFmt numFmtId="0" formatCode="General"/>
      <alignment horizontal="right" textRotation="0" wrapText="0" indent="0" justifyLastLine="0" shrinkToFit="0" readingOrder="0"/>
    </dxf>
    <dxf>
      <numFmt numFmtId="0" formatCode="General"/>
      <alignment horizontal="right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right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>
        <bottom style="thin">
          <color indexed="64"/>
        </bottom>
      </border>
    </dxf>
    <dxf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>
        <bottom style="thin">
          <color indexed="64"/>
        </bottom>
      </border>
    </dxf>
    <dxf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>
        <bottom style="thin">
          <color indexed="64"/>
        </bottom>
      </border>
    </dxf>
    <dxf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>
        <bottom style="thin">
          <color indexed="64"/>
        </bottom>
      </border>
    </dxf>
    <dxf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>
        <bottom style="thin">
          <color indexed="64"/>
        </bottom>
      </border>
    </dxf>
    <dxf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>
        <bottom style="thin">
          <color indexed="64"/>
        </bottom>
      </border>
    </dxf>
    <dxf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85D6DA-048E-4F80-83F4-179339B4C4EF}" name="Table17" displayName="Table17" ref="I1:L3" totalsRowShown="0" headerRowDxfId="66" headerRowBorderDxfId="65">
  <tableColumns count="4">
    <tableColumn id="1" xr3:uid="{51D9F95C-AD16-4823-B0B2-E9CD6C061937}" name="Start time" dataDxfId="64"/>
    <tableColumn id="2" xr3:uid="{EE73C29B-2016-4FB0-86B7-2467A4EEC362}" name="End time" dataDxfId="63"/>
    <tableColumn id="3" xr3:uid="{7466AD92-E41A-4B90-AB20-FD4C7D03F81E}" name="Charge"/>
    <tableColumn id="5" xr3:uid="{B476EAF9-345E-463F-95DD-59F3BA23FC10}" name="Explanation" dataDxfId="6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281089-2BEB-4A41-8CBE-CCD4F96A94BF}" name="Table1" displayName="Table1" ref="A1:F11" totalsRowShown="0" headerRowDxfId="61" headerRowBorderDxfId="60">
  <tableColumns count="6">
    <tableColumn id="1" xr3:uid="{4BD09D39-BBB6-4FBF-B46E-3E86EA68EC51}" name="Start time" dataDxfId="59"/>
    <tableColumn id="2" xr3:uid="{3E4D9D5E-2801-4EA0-B983-B450A4D11DAB}" name="End time" dataDxfId="58"/>
    <tableColumn id="3" xr3:uid="{011A6E69-1AF2-499E-BD24-A978BE5BF9D8}" name="Place"/>
    <tableColumn id="4" xr3:uid="{494759EF-4C87-41B7-B9BC-BAB963D11262}" name="Road"/>
    <tableColumn id="5" xr3:uid="{AF1ECF2A-BED2-40B5-88E4-CB45BE5B7F6C}" name="Elevation Profile " dataDxfId="57"/>
    <tableColumn id="6" xr3:uid="{0FDB1E15-7C66-43AF-9EA8-AE219E75F0BA}" name="Explanation" dataDxfId="5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20496E1-9491-3344-81BF-B07181BD8AD9}" name="Table158" displayName="Table158" ref="A1:F5" totalsRowShown="0" headerRowDxfId="55" headerRowBorderDxfId="54">
  <tableColumns count="6">
    <tableColumn id="1" xr3:uid="{87B93420-BB54-A64D-B13A-6D0091DD9B30}" name="Start time" dataDxfId="53"/>
    <tableColumn id="2" xr3:uid="{98ECFB70-0990-4644-BE72-885D37CD921D}" name="End time" dataDxfId="52"/>
    <tableColumn id="3" xr3:uid="{80749425-D3C8-9A45-83A9-A6EAAB7CCDDE}" name="Place"/>
    <tableColumn id="4" xr3:uid="{8449B18B-3BEA-8E47-9AC2-E5F4A6D7977E}" name="Road"/>
    <tableColumn id="5" xr3:uid="{6F142C7D-23A7-6040-BDA3-733295C8DD97}" name="Elevation Profile" dataDxfId="51"/>
    <tableColumn id="6" xr3:uid="{22D25EA0-E4E5-4246-A9C5-C4247DD37BAB}" name="Explanation" dataDxfId="5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BFC1546-47A3-4642-A27B-F544D5EBBF8B}" name="Table1791013" displayName="Table1791013" ref="I1:L2" totalsRowShown="0" headerRowDxfId="49" headerRowBorderDxfId="48">
  <tableColumns count="4">
    <tableColumn id="1" xr3:uid="{09454C6F-E808-C34E-BF53-CC6CEA0409FB}" name="Start time" dataDxfId="47"/>
    <tableColumn id="2" xr3:uid="{52292849-83F6-E243-9316-F75FB3C0F35D}" name="End time" dataDxfId="46"/>
    <tableColumn id="3" xr3:uid="{C874FD94-C463-DA45-A7E9-0A47D149910F}" name="Charge"/>
    <tableColumn id="5" xr3:uid="{36E9C939-4CC6-BE48-834F-C2E755339930}" name="Explanation" dataDxfId="45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5F4BCE-0FC0-4D20-9CD0-EECFA345AB4F}" name="Table15" displayName="Table15" ref="A1:F6" totalsRowShown="0" headerRowDxfId="44" headerRowBorderDxfId="43">
  <tableColumns count="6">
    <tableColumn id="1" xr3:uid="{DC60740B-5013-4D90-9471-D17151F38AA6}" name="Start time" dataDxfId="42"/>
    <tableColumn id="2" xr3:uid="{FD6CD1A4-441E-475F-930C-1F400EEEAFCC}" name="End time" dataDxfId="41"/>
    <tableColumn id="3" xr3:uid="{EC1115D5-702B-4B6B-AD04-6C73FC47B64D}" name="Place"/>
    <tableColumn id="4" xr3:uid="{303CEBAA-762C-434E-90A1-FDB6406E3794}" name="Road"/>
    <tableColumn id="5" xr3:uid="{42F0603D-CE1C-4095-B9AF-4539C790A6E6}" name="Elevation Profile" dataDxfId="40"/>
    <tableColumn id="6" xr3:uid="{07EE5663-E334-1A41-A77F-EA6A22D92B2E}" name="Explanation" dataDxfId="39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446CA44-9D31-40DD-AD6F-C37352F84C8F}" name="Table17910" displayName="Table17910" ref="I1:L2" totalsRowShown="0" headerRowDxfId="38" headerRowBorderDxfId="37">
  <tableColumns count="4">
    <tableColumn id="1" xr3:uid="{9FA6C226-AC67-43F3-BAA6-99EBD3BE15C7}" name="Start time" dataDxfId="36"/>
    <tableColumn id="2" xr3:uid="{780E2CB7-BA7B-41F4-98A6-C92BB776743B}" name="End time" dataDxfId="35"/>
    <tableColumn id="3" xr3:uid="{806539C4-406F-4049-838E-31439B78DDCD}" name="Charge"/>
    <tableColumn id="5" xr3:uid="{197909D2-4DC1-4986-A845-AAD9117DD5D1}" name="Explanation" dataDxfId="34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D765F1-168A-417F-B0F6-3FFA90E478A4}" name="Table156" displayName="Table156" ref="A1:F6" totalsRowShown="0" headerRowDxfId="33" dataDxfId="31" headerRowBorderDxfId="32">
  <tableColumns count="6">
    <tableColumn id="1" xr3:uid="{2B3D59BB-8F7B-4375-96E8-1313F6D0FE93}" name="Start time" dataDxfId="30"/>
    <tableColumn id="2" xr3:uid="{F289024E-A1B0-4CAF-A6D3-B1B613C19315}" name="End time" dataDxfId="29"/>
    <tableColumn id="3" xr3:uid="{B8DC1A93-3CAB-4297-8BE4-B0D88BF4EDA4}" name="Place" dataDxfId="28"/>
    <tableColumn id="4" xr3:uid="{2BDEE43C-0C7B-46DE-A82F-8D3950C2E1F1}" name="Road" dataDxfId="27"/>
    <tableColumn id="6" xr3:uid="{7E774F6C-85CB-4382-8B54-1D343168D27C}" name="Elevation Profile" dataDxfId="26"/>
    <tableColumn id="5" xr3:uid="{7832328B-BE39-4F64-802B-6D485896AAD0}" name="Explanation" dataDxfId="25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D0D5F0D-B4BE-4A12-AA53-D021054C4775}" name="Table179" displayName="Table179" ref="I1:L2" totalsRowShown="0" headerRowDxfId="24" headerRowBorderDxfId="23">
  <tableColumns count="4">
    <tableColumn id="1" xr3:uid="{377DE5F5-35AF-4F8C-902F-AC5806CCBDCE}" name="Start time" dataDxfId="22"/>
    <tableColumn id="2" xr3:uid="{DC009894-0DDD-415D-8D5E-1F7273429AEC}" name="End time" dataDxfId="21"/>
    <tableColumn id="3" xr3:uid="{78245CD9-FC87-4684-8F1C-8EC58273E5A3}" name="Charge"/>
    <tableColumn id="5" xr3:uid="{77C5B879-083E-4231-91F7-C42B7B9F42D6}" name="Explanation" dataDxfId="20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92409B-8C2E-45FB-A30F-C96E77AA3F0D}" name="Table134" displayName="Table134" ref="A1:F5" totalsRowShown="0" headerRowDxfId="19" headerRowBorderDxfId="18">
  <tableColumns count="6">
    <tableColumn id="1" xr3:uid="{46775554-24B3-486C-AF7A-F3CA130DA653}" name="Start time" dataDxfId="17"/>
    <tableColumn id="2" xr3:uid="{709A5D37-1230-4C8B-891A-C622F5BED918}" name="End time" dataDxfId="16"/>
    <tableColumn id="3" xr3:uid="{DEC1A739-D094-4614-9BAD-E16D09CC421E}" name="Place"/>
    <tableColumn id="4" xr3:uid="{6310713E-48C5-4CED-BC27-DA43BFA2E8D8}" name="Road"/>
    <tableColumn id="5" xr3:uid="{E1325414-7D35-4232-B6EB-88D8635F154D}" name="Elevation Profile" dataDxfId="15"/>
    <tableColumn id="6" xr3:uid="{7008B7C2-EDA7-A045-AC72-E5DF3E3CDE39}" name="Explanation" dataDxfId="14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9BEB60A-0337-403B-9E47-EEDE08CC6ADA}" name="Table1712" displayName="Table1712" ref="I1:L2" totalsRowShown="0">
  <tableColumns count="4">
    <tableColumn id="1" xr3:uid="{53EC6510-63AE-48DA-BD0A-FFD7ACCCDFB1}" name="Start time" dataDxfId="13"/>
    <tableColumn id="2" xr3:uid="{A2563617-D090-4E3A-A550-5A9EFBB5149C}" name="End time" dataDxfId="12"/>
    <tableColumn id="3" xr3:uid="{6B4EDB68-C697-4CF6-87AE-03A2E05B1D2F}" name="Charge"/>
    <tableColumn id="5" xr3:uid="{281253AB-DF41-4E8E-8551-E9E3AB4158CA}" name="Explanation" dataDxfId="11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9573FA-5FCA-49EE-958F-64E7021E6CEF}" name="Table13" displayName="Table13" ref="A1:F5" totalsRowShown="0" headerRowDxfId="10" headerRowBorderDxfId="9">
  <tableColumns count="6">
    <tableColumn id="1" xr3:uid="{F1770382-BA48-4FB3-813D-7E0CDF67853A}" name="Start time" dataDxfId="8"/>
    <tableColumn id="2" xr3:uid="{FC1996BA-65E2-4E8F-BBB7-BBB5FDABE3E5}" name="End time" dataDxfId="7"/>
    <tableColumn id="3" xr3:uid="{EF990ACC-0253-48D8-9502-6E9D74D52CB1}" name="Place"/>
    <tableColumn id="4" xr3:uid="{5CAA9045-EA81-4E01-BD71-74C3CC779CE7}" name="Road"/>
    <tableColumn id="5" xr3:uid="{D208F9EE-0545-44A2-B7EF-1C698B1B8D77}" name="Elevation Profile" dataDxfId="6"/>
    <tableColumn id="6" xr3:uid="{BAA67212-C8B6-C84C-AF78-9C417678E11A}" name="Explanation" dataDxfId="5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6939063-C49E-4CFE-A06B-B4B61D117340}" name="Table1711" displayName="Table1711" ref="I1:L2" totalsRowShown="0" headerRowDxfId="4" headerRowBorderDxfId="3">
  <tableColumns count="4">
    <tableColumn id="1" xr3:uid="{E0BAB931-AEB5-4A94-A12A-3D729AF1474F}" name="Start time" dataDxfId="2"/>
    <tableColumn id="2" xr3:uid="{2EC3F130-66CE-462D-BE06-9B57D8807C20}" name="End time" dataDxfId="1"/>
    <tableColumn id="3" xr3:uid="{510A2DDE-268C-44E6-AAC8-541CDCD8F755}" name="Charge"/>
    <tableColumn id="5" xr3:uid="{DE6F691A-AAF6-4E35-AA17-AFD822C5C6D7}" name="Explana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B742-EC2E-4A22-A742-F0D5078B457C}">
  <dimension ref="A1:AA19"/>
  <sheetViews>
    <sheetView tabSelected="1" zoomScale="66" zoomScaleNormal="90" workbookViewId="0">
      <selection activeCell="O11" sqref="O11"/>
    </sheetView>
  </sheetViews>
  <sheetFormatPr defaultColWidth="8.77734375" defaultRowHeight="14.4" x14ac:dyDescent="0.3"/>
  <cols>
    <col min="1" max="1" width="10.33203125" customWidth="1"/>
    <col min="2" max="2" width="11" bestFit="1" customWidth="1"/>
    <col min="3" max="4" width="10.33203125" customWidth="1"/>
    <col min="5" max="5" width="17.109375" bestFit="1" customWidth="1"/>
    <col min="6" max="6" width="44" bestFit="1" customWidth="1"/>
    <col min="7" max="7" width="8.77734375" customWidth="1"/>
    <col min="8" max="8" width="8.44140625" customWidth="1"/>
    <col min="9" max="9" width="15.77734375" customWidth="1"/>
    <col min="10" max="10" width="20.109375" bestFit="1" customWidth="1"/>
    <col min="11" max="11" width="18" customWidth="1"/>
    <col min="12" max="12" width="19.77734375" customWidth="1"/>
    <col min="13" max="13" width="9.77734375" customWidth="1"/>
    <col min="14" max="14" width="11.21875" bestFit="1" customWidth="1"/>
    <col min="15" max="15" width="18.77734375" customWidth="1"/>
    <col min="16" max="16" width="27.33203125" customWidth="1"/>
    <col min="17" max="17" width="13.33203125" customWidth="1"/>
    <col min="19" max="19" width="10.33203125" customWidth="1"/>
  </cols>
  <sheetData>
    <row r="1" spans="1:27" x14ac:dyDescent="0.3">
      <c r="A1" s="22" t="s">
        <v>0</v>
      </c>
      <c r="B1" s="18" t="s">
        <v>1</v>
      </c>
      <c r="C1" s="18" t="s">
        <v>3</v>
      </c>
      <c r="D1" s="18" t="s">
        <v>2</v>
      </c>
      <c r="E1" s="18" t="s">
        <v>53</v>
      </c>
      <c r="F1" s="23" t="s">
        <v>4</v>
      </c>
      <c r="I1" s="13" t="s">
        <v>0</v>
      </c>
      <c r="J1" s="14" t="s">
        <v>1</v>
      </c>
      <c r="K1" s="14" t="s">
        <v>50</v>
      </c>
      <c r="L1" s="15" t="s">
        <v>4</v>
      </c>
      <c r="O1" t="s">
        <v>17</v>
      </c>
      <c r="P1" s="4" t="s">
        <v>20</v>
      </c>
      <c r="Q1" s="3">
        <v>2840</v>
      </c>
      <c r="R1" t="s">
        <v>24</v>
      </c>
    </row>
    <row r="2" spans="1:27" x14ac:dyDescent="0.3">
      <c r="A2" s="20">
        <v>0.25</v>
      </c>
      <c r="B2" s="1">
        <v>0.33333333333333331</v>
      </c>
      <c r="C2" t="s">
        <v>33</v>
      </c>
      <c r="D2" t="s">
        <v>8</v>
      </c>
      <c r="E2" s="33" t="s">
        <v>54</v>
      </c>
      <c r="F2" s="21" t="s">
        <v>9</v>
      </c>
      <c r="I2" s="20">
        <v>0.54166666666666663</v>
      </c>
      <c r="J2" s="1">
        <v>0.58333333333333337</v>
      </c>
      <c r="K2" t="s">
        <v>49</v>
      </c>
      <c r="L2" s="42" t="s">
        <v>79</v>
      </c>
      <c r="O2" t="s">
        <v>29</v>
      </c>
      <c r="P2" s="4" t="s">
        <v>18</v>
      </c>
      <c r="Q2" s="7">
        <v>0.32600000000000001</v>
      </c>
      <c r="Y2" t="s">
        <v>33</v>
      </c>
      <c r="Z2" t="s">
        <v>8</v>
      </c>
      <c r="AA2" t="s">
        <v>52</v>
      </c>
    </row>
    <row r="3" spans="1:27" x14ac:dyDescent="0.3">
      <c r="A3" s="20">
        <v>0.33333333333333331</v>
      </c>
      <c r="B3" s="1">
        <v>0.35416666666666669</v>
      </c>
      <c r="C3" t="s">
        <v>33</v>
      </c>
      <c r="D3" t="s">
        <v>8</v>
      </c>
      <c r="E3" s="2" t="s">
        <v>54</v>
      </c>
      <c r="F3" s="21" t="s">
        <v>10</v>
      </c>
      <c r="I3" s="20">
        <v>0.90625</v>
      </c>
      <c r="J3" s="1">
        <v>0.23958333333333334</v>
      </c>
      <c r="K3" t="s">
        <v>49</v>
      </c>
      <c r="L3" s="21" t="s">
        <v>51</v>
      </c>
      <c r="P3" s="4" t="s">
        <v>19</v>
      </c>
      <c r="Q3" s="3">
        <v>3.4769999999999999</v>
      </c>
      <c r="R3" t="s">
        <v>25</v>
      </c>
      <c r="Y3" t="s">
        <v>6</v>
      </c>
      <c r="Z3" t="s">
        <v>7</v>
      </c>
      <c r="AA3" t="s">
        <v>62</v>
      </c>
    </row>
    <row r="4" spans="1:27" x14ac:dyDescent="0.3">
      <c r="A4" s="20">
        <v>0.35416666666666669</v>
      </c>
      <c r="B4" s="1">
        <v>0.38541666666666669</v>
      </c>
      <c r="C4" t="s">
        <v>6</v>
      </c>
      <c r="D4" t="s">
        <v>8</v>
      </c>
      <c r="E4" s="33" t="s">
        <v>56</v>
      </c>
      <c r="F4" s="21" t="s">
        <v>11</v>
      </c>
      <c r="L4" s="8"/>
      <c r="N4" t="s">
        <v>66</v>
      </c>
      <c r="O4" s="12" t="s">
        <v>73</v>
      </c>
      <c r="P4" s="4" t="s">
        <v>21</v>
      </c>
      <c r="Q4" s="3">
        <v>0.97</v>
      </c>
      <c r="Y4" t="s">
        <v>12</v>
      </c>
      <c r="AA4" t="s">
        <v>49</v>
      </c>
    </row>
    <row r="5" spans="1:27" x14ac:dyDescent="0.3">
      <c r="A5" s="20">
        <v>0.39583333333333331</v>
      </c>
      <c r="B5" s="1">
        <v>0.41666666666666669</v>
      </c>
      <c r="C5" t="s">
        <v>5</v>
      </c>
      <c r="D5" t="s">
        <v>8</v>
      </c>
      <c r="E5" s="8" t="s">
        <v>54</v>
      </c>
      <c r="F5" s="21" t="s">
        <v>13</v>
      </c>
      <c r="P5" s="4" t="s">
        <v>22</v>
      </c>
      <c r="Q5" s="3">
        <v>0.92</v>
      </c>
    </row>
    <row r="6" spans="1:27" x14ac:dyDescent="0.3">
      <c r="A6" s="20">
        <v>0.42708333333333331</v>
      </c>
      <c r="B6" s="1">
        <v>0.47916666666666669</v>
      </c>
      <c r="C6" t="s">
        <v>6</v>
      </c>
      <c r="D6" t="s">
        <v>8</v>
      </c>
      <c r="E6" s="33" t="s">
        <v>55</v>
      </c>
      <c r="F6" s="21" t="s">
        <v>14</v>
      </c>
      <c r="P6" s="4" t="s">
        <v>23</v>
      </c>
      <c r="Q6" s="3">
        <v>0.6</v>
      </c>
    </row>
    <row r="7" spans="1:27" x14ac:dyDescent="0.3">
      <c r="A7" s="20">
        <v>0.47916666666666669</v>
      </c>
      <c r="B7" s="1">
        <v>0.52083333333333337</v>
      </c>
      <c r="C7" t="s">
        <v>5</v>
      </c>
      <c r="D7" t="s">
        <v>8</v>
      </c>
      <c r="E7" s="2" t="s">
        <v>54</v>
      </c>
      <c r="F7" s="21" t="s">
        <v>15</v>
      </c>
      <c r="P7" s="4" t="s">
        <v>26</v>
      </c>
      <c r="Q7" s="3">
        <f>63*0.8</f>
        <v>50.400000000000006</v>
      </c>
      <c r="R7" t="s">
        <v>27</v>
      </c>
    </row>
    <row r="8" spans="1:27" x14ac:dyDescent="0.3">
      <c r="A8" s="20">
        <v>0.60416666666666663</v>
      </c>
      <c r="B8" s="1">
        <v>0.625</v>
      </c>
      <c r="C8" t="s">
        <v>12</v>
      </c>
      <c r="D8" t="s">
        <v>8</v>
      </c>
      <c r="E8" s="2" t="s">
        <v>60</v>
      </c>
      <c r="F8" s="21" t="s">
        <v>59</v>
      </c>
      <c r="P8" s="6" t="s">
        <v>28</v>
      </c>
      <c r="Q8" s="3">
        <v>96.9</v>
      </c>
      <c r="R8" t="s">
        <v>30</v>
      </c>
    </row>
    <row r="9" spans="1:27" x14ac:dyDescent="0.3">
      <c r="A9" s="20">
        <v>0.625</v>
      </c>
      <c r="B9" s="1">
        <v>0.64583333333333337</v>
      </c>
      <c r="C9" t="s">
        <v>12</v>
      </c>
      <c r="D9" t="s">
        <v>8</v>
      </c>
      <c r="E9" s="36" t="s">
        <v>61</v>
      </c>
      <c r="F9" s="21" t="s">
        <v>59</v>
      </c>
    </row>
    <row r="10" spans="1:27" x14ac:dyDescent="0.3">
      <c r="A10" s="20">
        <v>0.6875</v>
      </c>
      <c r="B10" s="1">
        <v>0.75</v>
      </c>
      <c r="C10" t="s">
        <v>12</v>
      </c>
      <c r="D10" t="s">
        <v>7</v>
      </c>
      <c r="E10" s="2" t="s">
        <v>54</v>
      </c>
      <c r="F10" s="21" t="s">
        <v>58</v>
      </c>
    </row>
    <row r="11" spans="1:27" x14ac:dyDescent="0.3">
      <c r="A11" s="20">
        <v>0.83333333333333337</v>
      </c>
      <c r="B11" s="1">
        <v>0.89583333333333337</v>
      </c>
      <c r="C11" t="s">
        <v>33</v>
      </c>
      <c r="D11" t="s">
        <v>8</v>
      </c>
      <c r="E11" s="37" t="s">
        <v>54</v>
      </c>
      <c r="F11" s="21" t="s">
        <v>16</v>
      </c>
      <c r="K11" s="5"/>
    </row>
    <row r="12" spans="1:27" x14ac:dyDescent="0.3">
      <c r="E12" s="8"/>
      <c r="F12" s="2"/>
      <c r="P12" s="12"/>
    </row>
    <row r="13" spans="1:27" x14ac:dyDescent="0.3">
      <c r="E13" s="8"/>
      <c r="F13" s="2"/>
    </row>
    <row r="18" ht="14.55" customHeight="1" x14ac:dyDescent="0.3"/>
    <row r="19" ht="14.55" customHeight="1" x14ac:dyDescent="0.3"/>
  </sheetData>
  <dataValidations count="3">
    <dataValidation type="list" allowBlank="1" showInputMessage="1" showErrorMessage="1" sqref="K2:K3" xr:uid="{A2D6C936-543A-41F6-8217-99D4D1519A6A}">
      <formula1>$AA$2:$AA$4</formula1>
    </dataValidation>
    <dataValidation type="list" allowBlank="1" showInputMessage="1" showErrorMessage="1" sqref="C2:C11" xr:uid="{B6F8BE23-1BAD-4CB5-AC25-CF78E8CF165A}">
      <formula1>$Y$2:$Y$4</formula1>
    </dataValidation>
    <dataValidation type="list" allowBlank="1" showInputMessage="1" showErrorMessage="1" sqref="D2:D11" xr:uid="{E882B740-DC8C-47C1-8EE5-D1DBC1927DE1}">
      <formula1>$Z$2:$Z$3</formula1>
    </dataValidation>
  </dataValidations>
  <pageMargins left="0.7" right="0.7" top="0.75" bottom="0.75" header="0.3" footer="0.3"/>
  <ignoredErrors>
    <ignoredError sqref="C7 C5" listDataValidation="1"/>
  </ignoredErrors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506F0-A25B-4DC5-B679-C235D5FEF129}">
  <dimension ref="A1:AA18"/>
  <sheetViews>
    <sheetView topLeftCell="F1" zoomScale="113" workbookViewId="0">
      <selection activeCell="F7" sqref="F7"/>
    </sheetView>
  </sheetViews>
  <sheetFormatPr defaultColWidth="8.77734375" defaultRowHeight="14.4" x14ac:dyDescent="0.3"/>
  <cols>
    <col min="2" max="2" width="9.6640625" customWidth="1"/>
    <col min="5" max="5" width="14.77734375" customWidth="1"/>
    <col min="6" max="6" width="46.6640625" customWidth="1"/>
    <col min="9" max="9" width="10" customWidth="1"/>
    <col min="10" max="10" width="9.44140625" customWidth="1"/>
    <col min="12" max="12" width="29.6640625" customWidth="1"/>
    <col min="15" max="15" width="14" customWidth="1"/>
    <col min="16" max="16" width="26" customWidth="1"/>
    <col min="18" max="18" width="6.77734375" customWidth="1"/>
  </cols>
  <sheetData>
    <row r="1" spans="1:27" x14ac:dyDescent="0.3">
      <c r="A1" s="22" t="s">
        <v>0</v>
      </c>
      <c r="B1" s="18" t="s">
        <v>1</v>
      </c>
      <c r="C1" s="18" t="s">
        <v>3</v>
      </c>
      <c r="D1" s="18" t="s">
        <v>2</v>
      </c>
      <c r="E1" t="s">
        <v>57</v>
      </c>
      <c r="F1" s="23" t="s">
        <v>4</v>
      </c>
      <c r="I1" s="13" t="s">
        <v>0</v>
      </c>
      <c r="J1" s="14" t="s">
        <v>1</v>
      </c>
      <c r="K1" s="14" t="s">
        <v>50</v>
      </c>
      <c r="L1" s="15" t="s">
        <v>4</v>
      </c>
      <c r="O1" t="s">
        <v>17</v>
      </c>
      <c r="P1" s="4" t="s">
        <v>20</v>
      </c>
      <c r="Q1" s="3">
        <v>121</v>
      </c>
      <c r="R1" t="s">
        <v>24</v>
      </c>
    </row>
    <row r="2" spans="1:27" x14ac:dyDescent="0.3">
      <c r="A2" s="20">
        <v>0.28125</v>
      </c>
      <c r="B2" s="1">
        <v>0.29166666666666669</v>
      </c>
      <c r="C2" t="s">
        <v>33</v>
      </c>
      <c r="D2" t="s">
        <v>8</v>
      </c>
      <c r="E2" s="8" t="s">
        <v>80</v>
      </c>
      <c r="F2" s="21" t="s">
        <v>74</v>
      </c>
      <c r="I2" s="20">
        <v>0.91666666666666663</v>
      </c>
      <c r="J2" s="1">
        <v>0.25</v>
      </c>
      <c r="K2" t="s">
        <v>49</v>
      </c>
      <c r="L2" s="21" t="s">
        <v>51</v>
      </c>
      <c r="O2" t="s">
        <v>63</v>
      </c>
      <c r="P2" s="4" t="s">
        <v>18</v>
      </c>
      <c r="Q2" s="3">
        <v>0.9</v>
      </c>
      <c r="Y2" t="s">
        <v>33</v>
      </c>
      <c r="Z2" t="s">
        <v>8</v>
      </c>
      <c r="AA2" t="s">
        <v>52</v>
      </c>
    </row>
    <row r="3" spans="1:27" x14ac:dyDescent="0.3">
      <c r="A3" s="20">
        <v>0.5</v>
      </c>
      <c r="B3" s="1">
        <v>0.52083333333333337</v>
      </c>
      <c r="C3" t="s">
        <v>33</v>
      </c>
      <c r="D3" t="s">
        <v>8</v>
      </c>
      <c r="E3" s="8" t="s">
        <v>54</v>
      </c>
      <c r="F3" s="21" t="s">
        <v>75</v>
      </c>
      <c r="P3" s="4" t="s">
        <v>19</v>
      </c>
      <c r="Q3" s="9">
        <v>0.15</v>
      </c>
      <c r="R3" t="s">
        <v>25</v>
      </c>
      <c r="Y3" t="s">
        <v>6</v>
      </c>
      <c r="Z3" t="s">
        <v>7</v>
      </c>
      <c r="AA3" t="s">
        <v>62</v>
      </c>
    </row>
    <row r="4" spans="1:27" x14ac:dyDescent="0.3">
      <c r="A4" s="20">
        <v>0.75</v>
      </c>
      <c r="B4" s="1">
        <v>0.76041666666666663</v>
      </c>
      <c r="C4" t="s">
        <v>33</v>
      </c>
      <c r="D4" t="s">
        <v>8</v>
      </c>
      <c r="E4" s="8" t="s">
        <v>81</v>
      </c>
      <c r="F4" s="21" t="s">
        <v>76</v>
      </c>
      <c r="N4" t="s">
        <v>66</v>
      </c>
      <c r="O4" s="12" t="s">
        <v>71</v>
      </c>
      <c r="P4" s="4" t="s">
        <v>21</v>
      </c>
      <c r="Q4" s="3">
        <v>0.95</v>
      </c>
      <c r="Y4" t="s">
        <v>12</v>
      </c>
      <c r="AA4" t="s">
        <v>49</v>
      </c>
    </row>
    <row r="5" spans="1:27" x14ac:dyDescent="0.3">
      <c r="A5" s="20">
        <v>0.77083333333333337</v>
      </c>
      <c r="B5" s="1">
        <v>0.79166666666666663</v>
      </c>
      <c r="C5" t="s">
        <v>12</v>
      </c>
      <c r="D5" t="s">
        <v>8</v>
      </c>
      <c r="E5" s="8" t="s">
        <v>54</v>
      </c>
      <c r="F5" s="21" t="s">
        <v>77</v>
      </c>
      <c r="P5" s="4" t="s">
        <v>22</v>
      </c>
      <c r="Q5" s="3">
        <v>0.92</v>
      </c>
    </row>
    <row r="6" spans="1:27" x14ac:dyDescent="0.3">
      <c r="E6" s="8"/>
      <c r="F6" s="2"/>
      <c r="P6" s="4" t="s">
        <v>23</v>
      </c>
      <c r="Q6" s="3">
        <v>0.6</v>
      </c>
    </row>
    <row r="7" spans="1:27" x14ac:dyDescent="0.3">
      <c r="E7" s="8"/>
      <c r="F7" s="2"/>
      <c r="P7" s="4" t="s">
        <v>26</v>
      </c>
      <c r="Q7" s="3">
        <f>0.126*0.8</f>
        <v>0.1008</v>
      </c>
      <c r="R7" t="s">
        <v>27</v>
      </c>
    </row>
    <row r="8" spans="1:27" x14ac:dyDescent="0.3">
      <c r="E8" s="8"/>
      <c r="F8" s="2"/>
      <c r="P8" s="6" t="s">
        <v>28</v>
      </c>
      <c r="Q8" s="3">
        <v>29.1</v>
      </c>
      <c r="R8" t="s">
        <v>30</v>
      </c>
    </row>
    <row r="9" spans="1:27" x14ac:dyDescent="0.3">
      <c r="E9" s="8"/>
      <c r="F9" s="2"/>
    </row>
    <row r="10" spans="1:27" x14ac:dyDescent="0.3">
      <c r="E10" s="8"/>
      <c r="F10" s="2"/>
    </row>
    <row r="11" spans="1:27" x14ac:dyDescent="0.3">
      <c r="E11" s="8"/>
      <c r="F11" s="2"/>
    </row>
    <row r="12" spans="1:27" x14ac:dyDescent="0.3">
      <c r="E12" s="8"/>
      <c r="F12" s="2"/>
    </row>
    <row r="13" spans="1:27" x14ac:dyDescent="0.3">
      <c r="E13" s="8"/>
      <c r="F13" s="2"/>
    </row>
    <row r="14" spans="1:27" x14ac:dyDescent="0.3">
      <c r="E14" s="8"/>
      <c r="F14" s="2"/>
    </row>
    <row r="15" spans="1:27" x14ac:dyDescent="0.3">
      <c r="E15" s="8"/>
      <c r="F15" s="2"/>
    </row>
    <row r="16" spans="1:27" x14ac:dyDescent="0.3">
      <c r="E16" s="8"/>
      <c r="F16" s="2"/>
    </row>
    <row r="17" spans="5:6" x14ac:dyDescent="0.3">
      <c r="E17" s="8"/>
      <c r="F17" s="2"/>
    </row>
    <row r="18" spans="5:6" x14ac:dyDescent="0.3">
      <c r="E18" s="8"/>
      <c r="F18" s="2"/>
    </row>
  </sheetData>
  <dataValidations count="3">
    <dataValidation type="list" allowBlank="1" showInputMessage="1" showErrorMessage="1" sqref="D2:D5" xr:uid="{34240390-05AF-D14E-A055-53ECB3634E24}">
      <formula1>$Z$2:$Z$3</formula1>
    </dataValidation>
    <dataValidation type="list" allowBlank="1" showInputMessage="1" showErrorMessage="1" sqref="C2:C5" xr:uid="{1C9E0019-392E-D14E-8DE1-C95822908163}">
      <formula1>$Y$2:$Y$4</formula1>
    </dataValidation>
    <dataValidation type="list" allowBlank="1" showInputMessage="1" showErrorMessage="1" sqref="K2" xr:uid="{E444E681-AB80-BC40-876E-C18DE6A5433E}">
      <formula1>$AA$2:$AA$4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84DB-5A74-450C-99B4-7C98F0376EFB}">
  <dimension ref="A1:AA15"/>
  <sheetViews>
    <sheetView zoomScale="103" zoomScaleNormal="63" workbookViewId="0">
      <selection activeCell="A7" sqref="A7"/>
    </sheetView>
  </sheetViews>
  <sheetFormatPr defaultColWidth="8.77734375" defaultRowHeight="14.4" x14ac:dyDescent="0.3"/>
  <cols>
    <col min="1" max="1" width="10.33203125" customWidth="1"/>
    <col min="2" max="2" width="11" bestFit="1" customWidth="1"/>
    <col min="3" max="4" width="10.33203125" customWidth="1"/>
    <col min="5" max="5" width="15.44140625" customWidth="1"/>
    <col min="6" max="6" width="51" customWidth="1"/>
    <col min="7" max="8" width="8.77734375" customWidth="1"/>
    <col min="9" max="9" width="9.77734375" customWidth="1"/>
    <col min="10" max="10" width="10.44140625" customWidth="1"/>
    <col min="11" max="11" width="12.33203125" customWidth="1"/>
    <col min="12" max="12" width="20.109375" customWidth="1"/>
    <col min="13" max="13" width="12.109375" customWidth="1"/>
    <col min="15" max="15" width="15.77734375" customWidth="1"/>
    <col min="16" max="16" width="25.44140625" customWidth="1"/>
    <col min="17" max="17" width="13.33203125" customWidth="1"/>
    <col min="18" max="18" width="7.44140625" customWidth="1"/>
    <col min="19" max="19" width="7.6640625" customWidth="1"/>
  </cols>
  <sheetData>
    <row r="1" spans="1:27" x14ac:dyDescent="0.3">
      <c r="A1" s="38" t="s">
        <v>0</v>
      </c>
      <c r="B1" s="38" t="s">
        <v>1</v>
      </c>
      <c r="C1" s="38" t="s">
        <v>3</v>
      </c>
      <c r="D1" s="38" t="s">
        <v>2</v>
      </c>
      <c r="E1" s="35" t="s">
        <v>57</v>
      </c>
      <c r="F1" s="38" t="s">
        <v>4</v>
      </c>
      <c r="I1" s="13" t="s">
        <v>0</v>
      </c>
      <c r="J1" s="14" t="s">
        <v>1</v>
      </c>
      <c r="K1" s="14" t="s">
        <v>50</v>
      </c>
      <c r="L1" s="15" t="s">
        <v>4</v>
      </c>
      <c r="O1" t="s">
        <v>17</v>
      </c>
      <c r="P1" s="4" t="s">
        <v>20</v>
      </c>
      <c r="Q1" s="3">
        <v>210</v>
      </c>
      <c r="R1" t="s">
        <v>24</v>
      </c>
    </row>
    <row r="2" spans="1:27" x14ac:dyDescent="0.3">
      <c r="A2" s="39">
        <v>0.28125</v>
      </c>
      <c r="B2" s="39">
        <v>0.29166666666666669</v>
      </c>
      <c r="C2" s="40" t="s">
        <v>33</v>
      </c>
      <c r="D2" s="40" t="s">
        <v>8</v>
      </c>
      <c r="E2" s="8" t="s">
        <v>80</v>
      </c>
      <c r="F2" s="40" t="s">
        <v>74</v>
      </c>
      <c r="I2" s="20">
        <v>0.92708333333333337</v>
      </c>
      <c r="J2" s="1">
        <v>0.23958333333333334</v>
      </c>
      <c r="K2" t="s">
        <v>49</v>
      </c>
      <c r="L2" s="21" t="s">
        <v>51</v>
      </c>
      <c r="O2" t="s">
        <v>47</v>
      </c>
      <c r="P2" s="4" t="s">
        <v>18</v>
      </c>
      <c r="Q2" s="3">
        <v>0.4</v>
      </c>
      <c r="Y2" t="s">
        <v>33</v>
      </c>
      <c r="Z2" t="s">
        <v>8</v>
      </c>
      <c r="AA2" t="s">
        <v>52</v>
      </c>
    </row>
    <row r="3" spans="1:27" x14ac:dyDescent="0.3">
      <c r="A3" s="39">
        <v>0.5</v>
      </c>
      <c r="B3" s="39">
        <v>0.52083333333333337</v>
      </c>
      <c r="C3" s="40" t="s">
        <v>33</v>
      </c>
      <c r="D3" s="40" t="s">
        <v>8</v>
      </c>
      <c r="E3" s="8" t="s">
        <v>54</v>
      </c>
      <c r="F3" s="40" t="s">
        <v>75</v>
      </c>
      <c r="P3" s="4" t="s">
        <v>19</v>
      </c>
      <c r="Q3" s="9">
        <v>0.76</v>
      </c>
      <c r="R3" t="s">
        <v>25</v>
      </c>
      <c r="Y3" t="s">
        <v>6</v>
      </c>
      <c r="Z3" t="s">
        <v>7</v>
      </c>
      <c r="AA3" t="s">
        <v>62</v>
      </c>
    </row>
    <row r="4" spans="1:27" x14ac:dyDescent="0.3">
      <c r="A4" s="39">
        <v>0.75</v>
      </c>
      <c r="B4" s="39">
        <v>0.76041666666666663</v>
      </c>
      <c r="C4" s="40" t="s">
        <v>33</v>
      </c>
      <c r="D4" s="40" t="s">
        <v>8</v>
      </c>
      <c r="E4" s="8" t="s">
        <v>81</v>
      </c>
      <c r="F4" s="40" t="s">
        <v>76</v>
      </c>
      <c r="N4" s="12" t="s">
        <v>67</v>
      </c>
      <c r="O4" t="s">
        <v>72</v>
      </c>
      <c r="P4" s="4" t="s">
        <v>21</v>
      </c>
      <c r="Q4" s="3">
        <v>0.9</v>
      </c>
      <c r="Y4" t="s">
        <v>12</v>
      </c>
      <c r="AA4" t="s">
        <v>49</v>
      </c>
    </row>
    <row r="5" spans="1:27" x14ac:dyDescent="0.3">
      <c r="A5" s="39">
        <v>0.77083333333333337</v>
      </c>
      <c r="B5" s="39">
        <v>0.79166666666666663</v>
      </c>
      <c r="C5" s="40" t="s">
        <v>12</v>
      </c>
      <c r="D5" s="40" t="s">
        <v>8</v>
      </c>
      <c r="E5" s="8" t="s">
        <v>54</v>
      </c>
      <c r="F5" s="40" t="s">
        <v>77</v>
      </c>
      <c r="P5" s="4" t="s">
        <v>22</v>
      </c>
      <c r="Q5" s="3">
        <v>0.8</v>
      </c>
    </row>
    <row r="6" spans="1:27" x14ac:dyDescent="0.3">
      <c r="A6" s="39">
        <v>0.88541666666666663</v>
      </c>
      <c r="B6" s="39">
        <v>0.89583333333333337</v>
      </c>
      <c r="C6" s="40" t="s">
        <v>33</v>
      </c>
      <c r="D6" s="40" t="s">
        <v>8</v>
      </c>
      <c r="E6" s="41" t="s">
        <v>54</v>
      </c>
      <c r="F6" s="40" t="s">
        <v>78</v>
      </c>
      <c r="P6" s="4" t="s">
        <v>23</v>
      </c>
      <c r="Q6" s="3">
        <v>0.5</v>
      </c>
    </row>
    <row r="7" spans="1:27" x14ac:dyDescent="0.3">
      <c r="P7" s="4" t="s">
        <v>26</v>
      </c>
      <c r="Q7" s="3">
        <f>3.24*0.8</f>
        <v>2.5920000000000005</v>
      </c>
      <c r="R7" t="s">
        <v>27</v>
      </c>
    </row>
    <row r="8" spans="1:27" x14ac:dyDescent="0.3">
      <c r="P8" s="6" t="s">
        <v>28</v>
      </c>
      <c r="Q8" s="3">
        <v>46.4</v>
      </c>
      <c r="R8" t="s">
        <v>48</v>
      </c>
    </row>
    <row r="9" spans="1:27" x14ac:dyDescent="0.3">
      <c r="K9" s="5"/>
    </row>
    <row r="15" spans="1:27" x14ac:dyDescent="0.3">
      <c r="E15" s="8" t="s">
        <v>54</v>
      </c>
    </row>
  </sheetData>
  <dataValidations count="1">
    <dataValidation type="list" allowBlank="1" showInputMessage="1" showErrorMessage="1" sqref="K2" xr:uid="{775F4D93-1017-41B6-832A-D627A8E5A254}">
      <formula1>$AA$2:$AA$4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41A5-4E70-4C68-BD53-94208F0DF44D}">
  <dimension ref="A1:AA9"/>
  <sheetViews>
    <sheetView zoomScale="144" zoomScaleNormal="100" workbookViewId="0">
      <selection activeCell="E3" sqref="E3"/>
    </sheetView>
  </sheetViews>
  <sheetFormatPr defaultColWidth="8.77734375" defaultRowHeight="14.4" x14ac:dyDescent="0.3"/>
  <cols>
    <col min="1" max="1" width="10.33203125" customWidth="1"/>
    <col min="2" max="2" width="11" bestFit="1" customWidth="1"/>
    <col min="3" max="4" width="10.33203125" customWidth="1"/>
    <col min="5" max="5" width="16.77734375" bestFit="1" customWidth="1"/>
    <col min="6" max="6" width="40.77734375" bestFit="1" customWidth="1"/>
    <col min="8" max="8" width="8.77734375" customWidth="1"/>
    <col min="9" max="9" width="10.44140625" customWidth="1"/>
    <col min="10" max="11" width="9.6640625" customWidth="1"/>
    <col min="12" max="12" width="19.44140625" customWidth="1"/>
    <col min="13" max="13" width="9.44140625" customWidth="1"/>
    <col min="14" max="14" width="9.88671875" bestFit="1" customWidth="1"/>
    <col min="16" max="16" width="26.109375" customWidth="1"/>
    <col min="17" max="17" width="8" customWidth="1"/>
    <col min="18" max="18" width="28.33203125" bestFit="1" customWidth="1"/>
    <col min="19" max="19" width="5.6640625" bestFit="1" customWidth="1"/>
    <col min="20" max="20" width="8.6640625" customWidth="1"/>
    <col min="21" max="21" width="7.6640625" customWidth="1"/>
  </cols>
  <sheetData>
    <row r="1" spans="1:27" x14ac:dyDescent="0.3">
      <c r="A1" s="22" t="s">
        <v>0</v>
      </c>
      <c r="B1" s="18" t="s">
        <v>1</v>
      </c>
      <c r="C1" s="18" t="s">
        <v>3</v>
      </c>
      <c r="D1" s="18" t="s">
        <v>2</v>
      </c>
      <c r="E1" s="18" t="s">
        <v>57</v>
      </c>
      <c r="F1" s="23" t="s">
        <v>4</v>
      </c>
      <c r="I1" s="13" t="s">
        <v>0</v>
      </c>
      <c r="J1" s="14" t="s">
        <v>1</v>
      </c>
      <c r="K1" s="14" t="s">
        <v>50</v>
      </c>
      <c r="L1" s="15" t="s">
        <v>4</v>
      </c>
      <c r="O1" t="s">
        <v>17</v>
      </c>
      <c r="P1" s="4" t="s">
        <v>20</v>
      </c>
      <c r="Q1" s="11">
        <v>2445</v>
      </c>
      <c r="R1" t="s">
        <v>24</v>
      </c>
    </row>
    <row r="2" spans="1:27" x14ac:dyDescent="0.3">
      <c r="A2" s="27">
        <v>0.3125</v>
      </c>
      <c r="B2" s="24" t="s">
        <v>31</v>
      </c>
      <c r="C2" s="25" t="s">
        <v>5</v>
      </c>
      <c r="D2" s="25" t="s">
        <v>8</v>
      </c>
      <c r="E2" s="25" t="s">
        <v>80</v>
      </c>
      <c r="F2" s="26" t="s">
        <v>35</v>
      </c>
      <c r="I2" s="16">
        <v>0.96875</v>
      </c>
      <c r="J2" s="17">
        <v>0.26041666666666669</v>
      </c>
      <c r="K2" s="18" t="s">
        <v>49</v>
      </c>
      <c r="L2" s="19" t="s">
        <v>51</v>
      </c>
      <c r="O2" t="s">
        <v>39</v>
      </c>
      <c r="P2" s="4" t="s">
        <v>18</v>
      </c>
      <c r="Q2" s="3">
        <v>0.3</v>
      </c>
      <c r="Y2" t="s">
        <v>33</v>
      </c>
      <c r="Z2" t="s">
        <v>8</v>
      </c>
      <c r="AA2" t="s">
        <v>52</v>
      </c>
    </row>
    <row r="3" spans="1:27" x14ac:dyDescent="0.3">
      <c r="A3" s="27">
        <v>0.54166666666666663</v>
      </c>
      <c r="B3" s="24" t="s">
        <v>32</v>
      </c>
      <c r="C3" s="25" t="s">
        <v>5</v>
      </c>
      <c r="D3" s="25" t="s">
        <v>8</v>
      </c>
      <c r="E3" s="25" t="s">
        <v>54</v>
      </c>
      <c r="F3" s="26" t="s">
        <v>34</v>
      </c>
      <c r="P3" s="4" t="s">
        <v>19</v>
      </c>
      <c r="Q3" s="9">
        <f>1.715*1.875</f>
        <v>3.2156250000000002</v>
      </c>
      <c r="R3" t="s">
        <v>25</v>
      </c>
      <c r="Y3" t="s">
        <v>6</v>
      </c>
      <c r="Z3" t="s">
        <v>7</v>
      </c>
      <c r="AA3" t="s">
        <v>62</v>
      </c>
    </row>
    <row r="4" spans="1:27" x14ac:dyDescent="0.3">
      <c r="A4" s="27">
        <v>0.6875</v>
      </c>
      <c r="B4" s="24" t="s">
        <v>36</v>
      </c>
      <c r="C4" s="25" t="s">
        <v>5</v>
      </c>
      <c r="D4" s="25" t="s">
        <v>8</v>
      </c>
      <c r="E4" s="25" t="s">
        <v>54</v>
      </c>
      <c r="F4" s="26" t="s">
        <v>37</v>
      </c>
      <c r="N4" s="12" t="s">
        <v>67</v>
      </c>
      <c r="O4" t="s">
        <v>68</v>
      </c>
      <c r="P4" s="4" t="s">
        <v>21</v>
      </c>
      <c r="Q4" s="3">
        <v>0.97</v>
      </c>
      <c r="Y4" t="s">
        <v>12</v>
      </c>
      <c r="AA4" t="s">
        <v>49</v>
      </c>
    </row>
    <row r="5" spans="1:27" x14ac:dyDescent="0.3">
      <c r="A5" s="27">
        <v>0.33333333333333331</v>
      </c>
      <c r="B5" s="24">
        <v>0.375</v>
      </c>
      <c r="C5" s="25" t="s">
        <v>5</v>
      </c>
      <c r="D5" s="25" t="s">
        <v>8</v>
      </c>
      <c r="E5" s="25" t="s">
        <v>54</v>
      </c>
      <c r="F5" s="26" t="s">
        <v>38</v>
      </c>
      <c r="P5" s="4" t="s">
        <v>22</v>
      </c>
      <c r="Q5" s="3">
        <v>0.92</v>
      </c>
    </row>
    <row r="6" spans="1:27" x14ac:dyDescent="0.3">
      <c r="A6" s="39">
        <v>0.38541666666666669</v>
      </c>
      <c r="B6" s="39">
        <v>0.40625</v>
      </c>
      <c r="C6" s="40" t="s">
        <v>33</v>
      </c>
      <c r="D6" s="40" t="s">
        <v>8</v>
      </c>
      <c r="E6" s="8" t="s">
        <v>81</v>
      </c>
      <c r="F6" s="40" t="s">
        <v>76</v>
      </c>
      <c r="P6" s="4" t="s">
        <v>23</v>
      </c>
      <c r="Q6" s="3">
        <v>0.6</v>
      </c>
    </row>
    <row r="7" spans="1:27" x14ac:dyDescent="0.3">
      <c r="P7" s="4" t="s">
        <v>26</v>
      </c>
      <c r="Q7" s="3">
        <f>64.2*0.8</f>
        <v>51.360000000000007</v>
      </c>
      <c r="R7" t="s">
        <v>27</v>
      </c>
    </row>
    <row r="8" spans="1:27" x14ac:dyDescent="0.3">
      <c r="P8" s="6" t="s">
        <v>28</v>
      </c>
      <c r="Q8" s="10">
        <v>85.6</v>
      </c>
      <c r="R8" t="s">
        <v>30</v>
      </c>
    </row>
    <row r="9" spans="1:27" x14ac:dyDescent="0.3">
      <c r="L9" s="5"/>
    </row>
  </sheetData>
  <dataValidations count="4">
    <dataValidation type="list" allowBlank="1" showInputMessage="1" showErrorMessage="1" sqref="C1" xr:uid="{4AFEBD30-AFA1-4EAE-86A6-8EAEE4C9C438}">
      <formula1>$H$1:$H$2</formula1>
    </dataValidation>
    <dataValidation type="list" allowBlank="1" showInputMessage="1" showErrorMessage="1" sqref="K2" xr:uid="{CEC1C29E-B937-4755-B4E6-C4B7C6401547}">
      <formula1>$AA$2:$AA$4</formula1>
    </dataValidation>
    <dataValidation type="list" allowBlank="1" showInputMessage="1" showErrorMessage="1" sqref="C2:C6" xr:uid="{DB8C894D-520D-4685-B73C-65ED836A1C17}">
      <formula1>$Y$2:$Y$4</formula1>
    </dataValidation>
    <dataValidation type="list" allowBlank="1" showInputMessage="1" showErrorMessage="1" sqref="D2:D6" xr:uid="{8BF0DF85-868A-3446-947A-36C78BE07067}">
      <formula1>$Z$2:$Z$3</formula1>
    </dataValidation>
  </dataValidations>
  <pageMargins left="0.7" right="0.7" top="0.75" bottom="0.75" header="0.3" footer="0.3"/>
  <ignoredErrors>
    <ignoredError sqref="C5 C1:C4" listDataValidation="1"/>
  </ignoredErrors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5FF66-40B5-412D-9446-C97E00F7CECA}">
  <dimension ref="A1:AA9"/>
  <sheetViews>
    <sheetView zoomScale="151" zoomScaleNormal="70" workbookViewId="0">
      <selection activeCell="L17" sqref="L17"/>
    </sheetView>
  </sheetViews>
  <sheetFormatPr defaultColWidth="8.77734375" defaultRowHeight="14.4" x14ac:dyDescent="0.3"/>
  <cols>
    <col min="1" max="1" width="10.33203125" customWidth="1"/>
    <col min="2" max="2" width="11" bestFit="1" customWidth="1"/>
    <col min="3" max="4" width="10.33203125" customWidth="1"/>
    <col min="5" max="5" width="17.33203125" customWidth="1"/>
    <col min="6" max="6" width="46.6640625" customWidth="1"/>
    <col min="7" max="8" width="8.77734375" customWidth="1"/>
    <col min="10" max="10" width="12.33203125" bestFit="1" customWidth="1"/>
    <col min="11" max="11" width="11.6640625" bestFit="1" customWidth="1"/>
    <col min="12" max="12" width="18.109375" customWidth="1"/>
    <col min="13" max="13" width="11" customWidth="1"/>
    <col min="16" max="16" width="25.109375" customWidth="1"/>
    <col min="17" max="17" width="11.44140625" customWidth="1"/>
    <col min="18" max="18" width="5.44140625" bestFit="1" customWidth="1"/>
    <col min="19" max="19" width="5.33203125" bestFit="1" customWidth="1"/>
  </cols>
  <sheetData>
    <row r="1" spans="1:27" x14ac:dyDescent="0.3">
      <c r="A1" s="13" t="s">
        <v>0</v>
      </c>
      <c r="B1" s="14" t="s">
        <v>1</v>
      </c>
      <c r="C1" s="14" t="s">
        <v>3</v>
      </c>
      <c r="D1" s="14" t="s">
        <v>2</v>
      </c>
      <c r="E1" s="14" t="s">
        <v>57</v>
      </c>
      <c r="F1" s="15" t="s">
        <v>4</v>
      </c>
      <c r="I1" t="s">
        <v>0</v>
      </c>
      <c r="J1" t="s">
        <v>1</v>
      </c>
      <c r="K1" t="s">
        <v>50</v>
      </c>
      <c r="L1" t="s">
        <v>4</v>
      </c>
      <c r="O1" t="s">
        <v>17</v>
      </c>
      <c r="P1" s="4" t="s">
        <v>20</v>
      </c>
      <c r="Q1" s="3">
        <v>18000</v>
      </c>
      <c r="R1" t="s">
        <v>24</v>
      </c>
    </row>
    <row r="2" spans="1:27" x14ac:dyDescent="0.3">
      <c r="A2" s="16">
        <v>0.39583333333333331</v>
      </c>
      <c r="B2" s="17">
        <v>0.47916666666666669</v>
      </c>
      <c r="C2" s="18" t="s">
        <v>12</v>
      </c>
      <c r="D2" s="18" t="s">
        <v>8</v>
      </c>
      <c r="E2" s="29" t="s">
        <v>54</v>
      </c>
      <c r="F2" s="19" t="s">
        <v>45</v>
      </c>
      <c r="I2" s="20">
        <v>0.78125</v>
      </c>
      <c r="J2" s="1">
        <v>0.34375</v>
      </c>
      <c r="K2" t="s">
        <v>49</v>
      </c>
      <c r="L2" s="21" t="s">
        <v>51</v>
      </c>
      <c r="O2" t="s">
        <v>64</v>
      </c>
      <c r="P2" s="4" t="s">
        <v>18</v>
      </c>
      <c r="Q2">
        <v>0.45</v>
      </c>
      <c r="Y2" t="s">
        <v>33</v>
      </c>
      <c r="Z2" t="s">
        <v>8</v>
      </c>
      <c r="AA2" t="s">
        <v>52</v>
      </c>
    </row>
    <row r="3" spans="1:27" x14ac:dyDescent="0.3">
      <c r="A3" s="20">
        <v>0.54166666666666663</v>
      </c>
      <c r="B3" s="1">
        <v>0.5625</v>
      </c>
      <c r="C3" t="s">
        <v>12</v>
      </c>
      <c r="D3" t="s">
        <v>8</v>
      </c>
      <c r="E3" s="8" t="s">
        <v>54</v>
      </c>
      <c r="F3" s="21" t="s">
        <v>45</v>
      </c>
      <c r="L3" s="8"/>
      <c r="P3" s="4" t="s">
        <v>19</v>
      </c>
      <c r="Q3" s="9">
        <v>8.75</v>
      </c>
      <c r="R3" t="s">
        <v>25</v>
      </c>
      <c r="Y3" t="s">
        <v>6</v>
      </c>
      <c r="Z3" t="s">
        <v>7</v>
      </c>
      <c r="AA3" t="s">
        <v>62</v>
      </c>
    </row>
    <row r="4" spans="1:27" x14ac:dyDescent="0.3">
      <c r="A4" s="20">
        <v>0.625</v>
      </c>
      <c r="B4" s="1">
        <v>0.75</v>
      </c>
      <c r="C4" t="s">
        <v>12</v>
      </c>
      <c r="D4" t="s">
        <v>7</v>
      </c>
      <c r="E4" s="8" t="s">
        <v>54</v>
      </c>
      <c r="F4" s="21" t="s">
        <v>44</v>
      </c>
      <c r="L4" s="8"/>
      <c r="N4" s="12" t="s">
        <v>67</v>
      </c>
      <c r="O4" t="s">
        <v>70</v>
      </c>
      <c r="P4" s="4" t="s">
        <v>21</v>
      </c>
      <c r="Q4" s="3">
        <v>0.95</v>
      </c>
      <c r="Y4" t="s">
        <v>12</v>
      </c>
      <c r="AA4" t="s">
        <v>49</v>
      </c>
    </row>
    <row r="5" spans="1:27" x14ac:dyDescent="0.3">
      <c r="A5" s="20">
        <v>0.75</v>
      </c>
      <c r="B5" s="1">
        <v>0.77083333333333337</v>
      </c>
      <c r="C5" t="s">
        <v>5</v>
      </c>
      <c r="D5" t="s">
        <v>8</v>
      </c>
      <c r="E5" s="8" t="s">
        <v>54</v>
      </c>
      <c r="F5" s="21" t="s">
        <v>46</v>
      </c>
      <c r="L5" s="8"/>
      <c r="P5" s="4" t="s">
        <v>22</v>
      </c>
      <c r="Q5" s="3">
        <v>0.92</v>
      </c>
    </row>
    <row r="6" spans="1:27" x14ac:dyDescent="0.3">
      <c r="P6" s="4" t="s">
        <v>23</v>
      </c>
      <c r="Q6" s="3">
        <v>0.6</v>
      </c>
    </row>
    <row r="7" spans="1:27" x14ac:dyDescent="0.3">
      <c r="P7" s="4" t="s">
        <v>26</v>
      </c>
      <c r="Q7" s="3">
        <f>324*0.8</f>
        <v>259.2</v>
      </c>
      <c r="R7" t="s">
        <v>27</v>
      </c>
    </row>
    <row r="8" spans="1:27" x14ac:dyDescent="0.3">
      <c r="P8" s="6" t="s">
        <v>28</v>
      </c>
      <c r="Q8" s="10">
        <v>25.7</v>
      </c>
      <c r="R8" t="s">
        <v>30</v>
      </c>
    </row>
    <row r="9" spans="1:27" x14ac:dyDescent="0.3">
      <c r="K9" s="5"/>
      <c r="Q9" s="5"/>
    </row>
  </sheetData>
  <dataValidations count="3">
    <dataValidation type="list" allowBlank="1" showInputMessage="1" showErrorMessage="1" sqref="D2:D5" xr:uid="{7F6357B0-BDA7-4DA5-AC0D-1485F0FB8E91}">
      <formula1>$Z$2:$Z$3</formula1>
    </dataValidation>
    <dataValidation type="list" allowBlank="1" showInputMessage="1" showErrorMessage="1" sqref="C2:C5" xr:uid="{14D78303-EB53-48DC-92FA-D4B23304058A}">
      <formula1>$Y$2:$Y$4</formula1>
    </dataValidation>
    <dataValidation type="list" allowBlank="1" showInputMessage="1" showErrorMessage="1" sqref="K2" xr:uid="{EDF68922-FAE9-4CD7-BBD6-6BF141964348}">
      <formula1>$AA$2:$AA$4</formula1>
    </dataValidation>
  </dataValidations>
  <pageMargins left="0.7" right="0.7" top="0.75" bottom="0.75" header="0.3" footer="0.3"/>
  <ignoredErrors>
    <ignoredError sqref="C5" listDataValidation="1"/>
  </ignoredErrors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39860-2997-464C-9B78-11A40EA97889}">
  <dimension ref="A1:AA9"/>
  <sheetViews>
    <sheetView topLeftCell="F1" zoomScale="105" zoomScaleNormal="104" workbookViewId="0">
      <selection activeCell="Q5" sqref="Q5"/>
    </sheetView>
  </sheetViews>
  <sheetFormatPr defaultColWidth="8.77734375" defaultRowHeight="14.4" x14ac:dyDescent="0.3"/>
  <cols>
    <col min="1" max="1" width="10.33203125" customWidth="1"/>
    <col min="2" max="2" width="11" bestFit="1" customWidth="1"/>
    <col min="3" max="3" width="10.33203125" customWidth="1"/>
    <col min="4" max="4" width="11.109375" customWidth="1"/>
    <col min="5" max="5" width="24.109375" customWidth="1"/>
    <col min="6" max="6" width="49.21875" bestFit="1" customWidth="1"/>
    <col min="7" max="8" width="8.77734375" customWidth="1"/>
    <col min="9" max="9" width="9.77734375" customWidth="1"/>
    <col min="11" max="11" width="9.44140625" customWidth="1"/>
    <col min="12" max="12" width="18.77734375" customWidth="1"/>
    <col min="13" max="13" width="9.109375" customWidth="1"/>
    <col min="14" max="14" width="9.88671875" bestFit="1" customWidth="1"/>
    <col min="16" max="16" width="25.33203125" customWidth="1"/>
    <col min="17" max="17" width="9.77734375" customWidth="1"/>
    <col min="18" max="18" width="5.44140625" bestFit="1" customWidth="1"/>
    <col min="19" max="19" width="5.33203125" bestFit="1" customWidth="1"/>
  </cols>
  <sheetData>
    <row r="1" spans="1:27" x14ac:dyDescent="0.3">
      <c r="A1" s="22" t="s">
        <v>0</v>
      </c>
      <c r="B1" s="18" t="s">
        <v>1</v>
      </c>
      <c r="C1" s="18" t="s">
        <v>3</v>
      </c>
      <c r="D1" s="18" t="s">
        <v>2</v>
      </c>
      <c r="E1" t="s">
        <v>57</v>
      </c>
      <c r="F1" s="23" t="s">
        <v>4</v>
      </c>
      <c r="I1" s="13" t="s">
        <v>0</v>
      </c>
      <c r="J1" s="14" t="s">
        <v>1</v>
      </c>
      <c r="K1" s="14" t="s">
        <v>50</v>
      </c>
      <c r="L1" s="15" t="s">
        <v>4</v>
      </c>
      <c r="O1" t="s">
        <v>17</v>
      </c>
      <c r="P1" s="4" t="s">
        <v>20</v>
      </c>
      <c r="Q1" s="3">
        <v>4300</v>
      </c>
      <c r="R1" t="s">
        <v>24</v>
      </c>
    </row>
    <row r="2" spans="1:27" x14ac:dyDescent="0.3">
      <c r="A2" s="16">
        <v>0.25</v>
      </c>
      <c r="B2" s="17">
        <v>0.29166666666666669</v>
      </c>
      <c r="C2" s="18" t="s">
        <v>12</v>
      </c>
      <c r="D2" s="18" t="s">
        <v>8</v>
      </c>
      <c r="E2" s="29" t="s">
        <v>54</v>
      </c>
      <c r="F2" s="19" t="s">
        <v>43</v>
      </c>
      <c r="I2" s="16">
        <v>0.78125</v>
      </c>
      <c r="J2" s="17">
        <v>0.21875</v>
      </c>
      <c r="K2" s="18" t="s">
        <v>49</v>
      </c>
      <c r="L2" s="19" t="s">
        <v>51</v>
      </c>
      <c r="O2" t="s">
        <v>65</v>
      </c>
      <c r="P2" s="4" t="s">
        <v>18</v>
      </c>
      <c r="Q2">
        <v>0.42</v>
      </c>
      <c r="Y2" t="s">
        <v>33</v>
      </c>
      <c r="Z2" t="s">
        <v>8</v>
      </c>
      <c r="AA2" t="s">
        <v>52</v>
      </c>
    </row>
    <row r="3" spans="1:27" x14ac:dyDescent="0.3">
      <c r="A3" s="20">
        <v>0.33333333333333331</v>
      </c>
      <c r="B3" s="1">
        <v>0.41666666666666669</v>
      </c>
      <c r="C3" t="s">
        <v>6</v>
      </c>
      <c r="D3" t="s">
        <v>8</v>
      </c>
      <c r="E3" s="8" t="s">
        <v>54</v>
      </c>
      <c r="F3" s="21" t="s">
        <v>42</v>
      </c>
      <c r="P3" s="4" t="s">
        <v>19</v>
      </c>
      <c r="Q3" s="9">
        <v>6.05</v>
      </c>
      <c r="R3" t="s">
        <v>25</v>
      </c>
      <c r="Y3" t="s">
        <v>6</v>
      </c>
      <c r="Z3" t="s">
        <v>7</v>
      </c>
      <c r="AA3" t="s">
        <v>62</v>
      </c>
    </row>
    <row r="4" spans="1:27" x14ac:dyDescent="0.3">
      <c r="A4" s="20">
        <v>0.60416666666666663</v>
      </c>
      <c r="B4" s="1">
        <v>0.6875</v>
      </c>
      <c r="C4" t="s">
        <v>12</v>
      </c>
      <c r="D4" t="s">
        <v>7</v>
      </c>
      <c r="E4" s="8" t="s">
        <v>54</v>
      </c>
      <c r="F4" s="21" t="s">
        <v>40</v>
      </c>
      <c r="N4" s="12" t="s">
        <v>67</v>
      </c>
      <c r="O4" t="s">
        <v>69</v>
      </c>
      <c r="P4" s="4" t="s">
        <v>21</v>
      </c>
      <c r="Q4" s="3">
        <v>0.95</v>
      </c>
      <c r="Y4" t="s">
        <v>12</v>
      </c>
      <c r="AA4" t="s">
        <v>49</v>
      </c>
    </row>
    <row r="5" spans="1:27" x14ac:dyDescent="0.3">
      <c r="A5" s="30">
        <v>0.72916666666666663</v>
      </c>
      <c r="B5" s="31">
        <v>0.77083333333333337</v>
      </c>
      <c r="C5" s="28" t="s">
        <v>33</v>
      </c>
      <c r="D5" s="28" t="s">
        <v>8</v>
      </c>
      <c r="E5" s="32" t="s">
        <v>54</v>
      </c>
      <c r="F5" s="21" t="s">
        <v>41</v>
      </c>
      <c r="P5" s="4" t="s">
        <v>22</v>
      </c>
      <c r="Q5" s="3">
        <v>0.92</v>
      </c>
    </row>
    <row r="6" spans="1:27" x14ac:dyDescent="0.3">
      <c r="A6" s="34"/>
      <c r="E6" s="8"/>
      <c r="F6" s="2"/>
      <c r="P6" s="4" t="s">
        <v>23</v>
      </c>
      <c r="Q6" s="3">
        <v>0.6</v>
      </c>
    </row>
    <row r="7" spans="1:27" x14ac:dyDescent="0.3">
      <c r="P7" s="4" t="s">
        <v>26</v>
      </c>
      <c r="Q7" s="3">
        <f>145*0.8</f>
        <v>116</v>
      </c>
      <c r="R7" t="s">
        <v>27</v>
      </c>
    </row>
    <row r="8" spans="1:27" x14ac:dyDescent="0.3">
      <c r="P8" s="6" t="s">
        <v>28</v>
      </c>
      <c r="Q8" s="10">
        <v>49.7</v>
      </c>
      <c r="R8" t="s">
        <v>30</v>
      </c>
    </row>
    <row r="9" spans="1:27" x14ac:dyDescent="0.3">
      <c r="K9" s="5"/>
      <c r="Q9" s="5"/>
    </row>
  </sheetData>
  <dataValidations count="3">
    <dataValidation type="list" allowBlank="1" showInputMessage="1" showErrorMessage="1" sqref="K2" xr:uid="{98872124-C850-456F-9A2F-73BCD66DD9F7}">
      <formula1>$AA$2:$AA$4</formula1>
    </dataValidation>
    <dataValidation type="list" allowBlank="1" showInputMessage="1" showErrorMessage="1" sqref="C2:C5" xr:uid="{E80F940F-35BB-4688-87E4-FF31633B4DAB}">
      <formula1>$Y$2:$Y$4</formula1>
    </dataValidation>
    <dataValidation type="list" allowBlank="1" showInputMessage="1" showErrorMessage="1" sqref="D2:D5" xr:uid="{94933E67-69A1-466D-8EDE-C7D1AB01EEE1}">
      <formula1>$Z$2:$Z$3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PickUp</vt:lpstr>
      <vt:lpstr>Micromobilidad</vt:lpstr>
      <vt:lpstr>Motorcycle</vt:lpstr>
      <vt:lpstr>SUV</vt:lpstr>
      <vt:lpstr>Bus</vt:lpstr>
      <vt:lpstr>Heavy Truck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Leonardo Loayza Correa</dc:creator>
  <cp:lastModifiedBy>Matías Leonardo Loayza Correa</cp:lastModifiedBy>
  <dcterms:created xsi:type="dcterms:W3CDTF">2026-04-10T20:26:57Z</dcterms:created>
  <dcterms:modified xsi:type="dcterms:W3CDTF">2026-06-15T17:32:18Z</dcterms:modified>
</cp:coreProperties>
</file>